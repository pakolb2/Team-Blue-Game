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🐛 Issue Tracker" sheetId="1" state="visible" r:id="rId1"/>
    <sheet xmlns:r="http://schemas.openxmlformats.org/officeDocument/2006/relationships" name="📋 V2 Task Board" sheetId="2" state="visible" r:id="rId2"/>
    <sheet xmlns:r="http://schemas.openxmlformats.org/officeDocument/2006/relationships" name="📅 Meeting Log" sheetId="3" state="visible" r:id="rId3"/>
    <sheet xmlns:r="http://schemas.openxmlformats.org/officeDocument/2006/relationships" name="📖 Module Guide" sheetId="4" state="visible" r:id="rId4"/>
    <sheet xmlns:r="http://schemas.openxmlformats.org/officeDocument/2006/relationships" name="📊 Dashboard" sheetId="5" state="visible" r:id="rId5"/>
  </sheets>
  <definedNames>
    <definedName name="_xlnm._FilterDatabase" localSheetId="0" hidden="1">'🐛 Issue Tracker'!$A$2:$L$32</definedName>
    <definedName name="_xlnm._FilterDatabase" localSheetId="1" hidden="1">'📋 V2 Task Board'!$A$2:$I$22</definedName>
    <definedName name="_xlnm._FilterDatabase" localSheetId="3" hidden="1">'📖 Module Guide'!$A$2:$E$18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color rgb="001A1A1A"/>
      <sz val="10"/>
    </font>
    <font>
      <name val="Arial"/>
      <b val="1"/>
      <color rgb="00C8A800"/>
      <sz val="10"/>
    </font>
    <font>
      <name val="Arial"/>
      <b val="1"/>
      <color rgb="00E67E00"/>
      <sz val="10"/>
    </font>
    <font>
      <name val="Arial"/>
      <b val="1"/>
      <color rgb="00266134"/>
      <sz val="10"/>
    </font>
    <font>
      <name val="Courier New"/>
      <b val="1"/>
      <color rgb="00266134"/>
      <sz val="9"/>
    </font>
    <font>
      <name val="Arial"/>
      <b val="1"/>
      <color rgb="00266134"/>
      <sz val="18"/>
    </font>
    <font>
      <name val="Arial"/>
      <b val="1"/>
      <color rgb="00E67E00"/>
      <sz val="18"/>
    </font>
    <font>
      <name val="Arial"/>
      <b val="1"/>
      <color rgb="004A9960"/>
      <sz val="18"/>
    </font>
    <font>
      <name val="Arial"/>
      <b val="1"/>
      <color rgb="00C0160C"/>
      <sz val="18"/>
    </font>
    <font>
      <name val="Arial"/>
      <b val="1"/>
      <color rgb="00C8A800"/>
      <sz val="18"/>
    </font>
    <font>
      <name val="Arial"/>
      <b val="1"/>
      <color rgb="00266134"/>
      <sz val="11"/>
    </font>
    <font>
      <name val="Arial"/>
      <b val="1"/>
      <color rgb="00C0160C"/>
      <sz val="10"/>
    </font>
    <font>
      <name val="Arial"/>
      <b val="1"/>
      <color rgb="004A9960"/>
      <sz val="10"/>
    </font>
    <font>
      <name val="Arial"/>
      <b val="1"/>
      <color rgb="00888888"/>
      <sz val="10"/>
    </font>
  </fonts>
  <fills count="14">
    <fill>
      <patternFill/>
    </fill>
    <fill>
      <patternFill patternType="gray125"/>
    </fill>
    <fill>
      <patternFill patternType="solid">
        <fgColor rgb="00266134"/>
      </patternFill>
    </fill>
    <fill>
      <patternFill patternType="solid">
        <fgColor rgb="00F5F5F5"/>
      </patternFill>
    </fill>
    <fill>
      <patternFill patternType="solid">
        <fgColor rgb="00FFF8DC"/>
      </patternFill>
    </fill>
    <fill>
      <patternFill patternType="solid">
        <fgColor rgb="00FFF3E0"/>
      </patternFill>
    </fill>
    <fill>
      <patternFill patternType="solid">
        <fgColor rgb="00FFFFFF"/>
      </patternFill>
    </fill>
    <fill>
      <patternFill patternType="solid">
        <fgColor rgb="00EAF4EC"/>
      </patternFill>
    </fill>
    <fill>
      <patternFill patternType="solid">
        <fgColor rgb="00E67E00"/>
      </patternFill>
    </fill>
    <fill>
      <patternFill patternType="solid">
        <fgColor rgb="004A9960"/>
      </patternFill>
    </fill>
    <fill>
      <patternFill patternType="solid">
        <fgColor rgb="00C0160C"/>
      </patternFill>
    </fill>
    <fill>
      <patternFill patternType="solid">
        <fgColor rgb="00C8A800"/>
      </patternFill>
    </fill>
    <fill>
      <patternFill patternType="solid">
        <fgColor rgb="00FDECEA"/>
      </patternFill>
    </fill>
    <fill>
      <patternFill patternType="solid">
        <fgColor rgb="00C8E6D0"/>
      </patternFill>
    </fill>
  </fills>
  <borders count="7">
    <border>
      <left/>
      <right/>
      <top/>
      <bottom/>
      <diagonal/>
    </border>
    <border>
      <left style="thin">
        <color rgb="00266134"/>
      </left>
      <right style="thin">
        <color rgb="00266134"/>
      </right>
      <top style="thin">
        <color rgb="00266134"/>
      </top>
      <bottom style="thin">
        <color rgb="00266134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E67E00"/>
      </left>
      <right style="thin">
        <color rgb="00E67E00"/>
      </right>
      <top style="thin">
        <color rgb="00E67E00"/>
      </top>
      <bottom style="thin">
        <color rgb="00E67E00"/>
      </bottom>
    </border>
    <border>
      <left style="thin">
        <color rgb="004A9960"/>
      </left>
      <right style="thin">
        <color rgb="004A9960"/>
      </right>
      <top style="thin">
        <color rgb="004A9960"/>
      </top>
      <bottom style="thin">
        <color rgb="004A9960"/>
      </bottom>
    </border>
    <border>
      <left style="thin">
        <color rgb="00C0160C"/>
      </left>
      <right style="thin">
        <color rgb="00C0160C"/>
      </right>
      <top style="thin">
        <color rgb="00C0160C"/>
      </top>
      <bottom style="thin">
        <color rgb="00C0160C"/>
      </bottom>
    </border>
    <border>
      <left style="thin">
        <color rgb="00C8A800"/>
      </left>
      <right style="thin">
        <color rgb="00C8A800"/>
      </right>
      <top style="thin">
        <color rgb="00C8A800"/>
      </top>
      <bottom style="thin">
        <color rgb="00C8A800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7" fillId="3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left" vertical="center" wrapText="1"/>
    </xf>
    <xf numFmtId="0" fontId="2" fillId="8" borderId="3" applyAlignment="1" pivotButton="0" quotePrefix="0" xfId="0">
      <alignment horizontal="center" vertical="center" wrapText="1"/>
    </xf>
    <xf numFmtId="0" fontId="2" fillId="9" borderId="4" applyAlignment="1" pivotButton="0" quotePrefix="0" xfId="0">
      <alignment horizontal="center" vertical="center" wrapText="1"/>
    </xf>
    <xf numFmtId="0" fontId="2" fillId="10" borderId="5" applyAlignment="1" pivotButton="0" quotePrefix="0" xfId="0">
      <alignment horizontal="center" vertical="center" wrapText="1"/>
    </xf>
    <xf numFmtId="0" fontId="2" fillId="11" borderId="6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center" vertical="center" wrapText="1"/>
    </xf>
    <xf numFmtId="0" fontId="10" fillId="7" borderId="2" applyAlignment="1" pivotButton="0" quotePrefix="0" xfId="0">
      <alignment horizontal="center" vertical="center" wrapText="1"/>
    </xf>
    <xf numFmtId="0" fontId="11" fillId="7" borderId="2" applyAlignment="1" pivotButton="0" quotePrefix="0" xfId="0">
      <alignment horizontal="center" vertical="center" wrapText="1"/>
    </xf>
    <xf numFmtId="0" fontId="12" fillId="7" borderId="2" applyAlignment="1" pivotButton="0" quotePrefix="0" xfId="0">
      <alignment horizontal="center" vertical="center" wrapText="1"/>
    </xf>
    <xf numFmtId="0" fontId="13" fillId="0" borderId="0" pivotButton="0" quotePrefix="0" xfId="0"/>
    <xf numFmtId="0" fontId="14" fillId="12" borderId="2" applyAlignment="1" pivotButton="0" quotePrefix="0" xfId="0">
      <alignment horizontal="left" vertical="center" wrapText="1"/>
    </xf>
    <xf numFmtId="0" fontId="14" fillId="12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15" fillId="7" borderId="2" applyAlignment="1" pivotButton="0" quotePrefix="0" xfId="0">
      <alignment horizontal="left" vertical="center" wrapText="1"/>
    </xf>
    <xf numFmtId="0" fontId="15" fillId="7" borderId="2" applyAlignment="1" pivotButton="0" quotePrefix="0" xfId="0">
      <alignment horizontal="center" vertical="center" wrapText="1"/>
    </xf>
    <xf numFmtId="0" fontId="6" fillId="13" borderId="2" applyAlignment="1" pivotButton="0" quotePrefix="0" xfId="0">
      <alignment horizontal="left" vertical="center" wrapText="1"/>
    </xf>
    <xf numFmtId="0" fontId="6" fillId="13" borderId="2" applyAlignment="1" pivotButton="0" quotePrefix="0" xfId="0">
      <alignment horizontal="center" vertical="center" wrapText="1"/>
    </xf>
    <xf numFmtId="0" fontId="16" fillId="3" borderId="2" applyAlignment="1" pivotButton="0" quotePrefix="0" xfId="0">
      <alignment horizontal="left" vertical="center" wrapText="1"/>
    </xf>
    <xf numFmtId="0" fontId="16" fillId="3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42" customWidth="1" min="3" max="3"/>
    <col width="18" customWidth="1" min="4" max="4"/>
    <col width="12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4" customWidth="1" min="11" max="11"/>
    <col width="28" customWidth="1" min="12" max="12"/>
  </cols>
  <sheetData>
    <row r="1" ht="28" customHeight="1">
      <c r="A1" s="1" t="inlineStr">
        <is>
          <t>JASS — Issue Tracker  |  V1 Code Review</t>
        </is>
      </c>
    </row>
    <row r="2" ht="22" customHeight="1">
      <c r="A2" s="2" t="inlineStr">
        <is>
          <t>ID</t>
        </is>
      </c>
      <c r="B2" s="2" t="inlineStr">
        <is>
          <t>Title</t>
        </is>
      </c>
      <c r="C2" s="2" t="inlineStr">
        <is>
          <t>Description</t>
        </is>
      </c>
      <c r="D2" s="2" t="inlineStr">
        <is>
          <t>Module</t>
        </is>
      </c>
      <c r="E2" s="2" t="inlineStr">
        <is>
          <t>Type</t>
        </is>
      </c>
      <c r="F2" s="2" t="inlineStr">
        <is>
          <t>Severity</t>
        </is>
      </c>
      <c r="G2" s="2" t="inlineStr">
        <is>
          <t>Reported By</t>
        </is>
      </c>
      <c r="H2" s="2" t="inlineStr">
        <is>
          <t>Date Found</t>
        </is>
      </c>
      <c r="I2" s="2" t="inlineStr">
        <is>
          <t>Assigned To</t>
        </is>
      </c>
      <c r="J2" s="2" t="inlineStr">
        <is>
          <t>Deadline</t>
        </is>
      </c>
      <c r="K2" s="2" t="inlineStr">
        <is>
          <t>Status</t>
        </is>
      </c>
      <c r="L2" s="2" t="inlineStr">
        <is>
          <t>Notes</t>
        </is>
      </c>
    </row>
    <row r="3">
      <c r="A3" s="3" t="inlineStr">
        <is>
          <t>J-001</t>
        </is>
      </c>
      <c r="B3" s="3" t="inlineStr">
        <is>
          <t>animations.js not wired into game.js</t>
        </is>
      </c>
      <c r="C3" s="3" t="inlineStr">
        <is>
          <t>animations.js defines functions (animateDeal, animateTrickCollect, etc.) but game.js never calls them. Cards have no deal/collect animation.</t>
        </is>
      </c>
      <c r="D3" s="3" t="inlineStr">
        <is>
          <t>client/js</t>
        </is>
      </c>
      <c r="E3" s="3" t="inlineStr">
        <is>
          <t>Improvement</t>
        </is>
      </c>
      <c r="F3" s="4" t="inlineStr">
        <is>
          <t>Medium</t>
        </is>
      </c>
      <c r="G3" s="3" t="inlineStr"/>
      <c r="H3" s="3" t="inlineStr"/>
      <c r="I3" s="3" t="inlineStr"/>
      <c r="J3" s="3" t="inlineStr"/>
      <c r="K3" s="5" t="inlineStr">
        <is>
          <t>Open</t>
        </is>
      </c>
      <c r="L3" s="3" t="inlineStr">
        <is>
          <t>Easy win — just add calls in game.js event handlers</t>
        </is>
      </c>
    </row>
    <row r="4">
      <c r="A4" s="6" t="inlineStr">
        <is>
          <t>J-002</t>
        </is>
      </c>
      <c r="B4" s="6" t="inlineStr">
        <is>
          <t>Differenzler predictions lost on server restart</t>
        </is>
      </c>
      <c r="C4" s="6" t="inlineStr">
        <is>
          <t>Predictions are stored in a module-level dict (_predictions). If uvicorn restarts mid-game, all predictions are lost.</t>
        </is>
      </c>
      <c r="D4" s="6" t="inlineStr">
        <is>
          <t>server/game</t>
        </is>
      </c>
      <c r="E4" s="6" t="inlineStr">
        <is>
          <t>Bug</t>
        </is>
      </c>
      <c r="F4" s="7" t="inlineStr">
        <is>
          <t>High</t>
        </is>
      </c>
      <c r="G4" s="6" t="inlineStr"/>
      <c r="H4" s="6" t="inlineStr"/>
      <c r="I4" s="6" t="inlineStr"/>
      <c r="J4" s="6" t="inlineStr"/>
      <c r="K4" s="5" t="inlineStr">
        <is>
          <t>Open</t>
        </is>
      </c>
      <c r="L4" s="6" t="inlineStr">
        <is>
          <t>Move to GameState.scores or a new field</t>
        </is>
      </c>
    </row>
    <row r="5">
      <c r="A5" s="3" t="inlineStr">
        <is>
          <t>J-003</t>
        </is>
      </c>
      <c r="B5" s="3" t="inlineStr">
        <is>
          <t>Bot moves fire instantly — no delay</t>
        </is>
      </c>
      <c r="C5" s="3" t="inlineStr">
        <is>
          <t>After a human plays a card, all bot moves execute synchronously. The client receives a burst of state updates with no time to animate.</t>
        </is>
      </c>
      <c r="D5" s="3" t="inlineStr">
        <is>
          <t>server/bots</t>
        </is>
      </c>
      <c r="E5" s="3" t="inlineStr">
        <is>
          <t>Improvement</t>
        </is>
      </c>
      <c r="F5" s="4" t="inlineStr">
        <is>
          <t>Medium</t>
        </is>
      </c>
      <c r="G5" s="3" t="inlineStr"/>
      <c r="H5" s="3" t="inlineStr"/>
      <c r="I5" s="3" t="inlineStr"/>
      <c r="J5" s="3" t="inlineStr"/>
      <c r="K5" s="5" t="inlineStr">
        <is>
          <t>Open</t>
        </is>
      </c>
      <c r="L5" s="3" t="inlineStr">
        <is>
          <t>Add asyncio.sleep(0.8) between bot plays</t>
        </is>
      </c>
    </row>
    <row r="6">
      <c r="A6" s="6" t="inlineStr">
        <is>
          <t>J-004</t>
        </is>
      </c>
      <c r="B6" s="6" t="inlineStr">
        <is>
          <t>Trump picker doesn't show available Coiffeur modes</t>
        </is>
      </c>
      <c r="C6" s="6" t="inlineStr">
        <is>
          <t>In Coiffeur, the trump picker shows all 6 modes even when a team has already played some. Player can accidentally pick a used mode.</t>
        </is>
      </c>
      <c r="D6" s="6" t="inlineStr">
        <is>
          <t>client/js</t>
        </is>
      </c>
      <c r="E6" s="6" t="inlineStr">
        <is>
          <t>Bug</t>
        </is>
      </c>
      <c r="F6" s="4" t="inlineStr">
        <is>
          <t>Medium</t>
        </is>
      </c>
      <c r="G6" s="6" t="inlineStr"/>
      <c r="H6" s="6" t="inlineStr"/>
      <c r="I6" s="6" t="inlineStr"/>
      <c r="J6" s="6" t="inlineStr"/>
      <c r="K6" s="5" t="inlineStr">
        <is>
          <t>Open</t>
        </is>
      </c>
      <c r="L6" s="6" t="inlineStr">
        <is>
          <t>Pass available_modes in the game state view</t>
        </is>
      </c>
    </row>
    <row r="7">
      <c r="A7" s="3" t="inlineStr">
        <is>
          <t>J-005</t>
        </is>
      </c>
      <c r="B7" s="3" t="inlineStr">
        <is>
          <t>LAN server list not shown in lobby</t>
        </is>
      </c>
      <c r="C7" s="3" t="inlineStr">
        <is>
          <t>lan_discovery.py and /api/lan/servers endpoint exist and work, but home.html has no UI to display discovered LAN servers.</t>
        </is>
      </c>
      <c r="D7" s="3" t="inlineStr">
        <is>
          <t>client/templates</t>
        </is>
      </c>
      <c r="E7" s="3" t="inlineStr">
        <is>
          <t>Improvement</t>
        </is>
      </c>
      <c r="F7" s="8" t="inlineStr">
        <is>
          <t>Low</t>
        </is>
      </c>
      <c r="G7" s="3" t="inlineStr"/>
      <c r="H7" s="3" t="inlineStr"/>
      <c r="I7" s="3" t="inlineStr"/>
      <c r="J7" s="3" t="inlineStr"/>
      <c r="K7" s="5" t="inlineStr">
        <is>
          <t>Open</t>
        </is>
      </c>
      <c r="L7" s="3" t="inlineStr">
        <is>
          <t>Add a polling section to home.html</t>
        </is>
      </c>
    </row>
    <row r="8">
      <c r="A8" s="6" t="inlineStr">
        <is>
          <t>J-006</t>
        </is>
      </c>
      <c r="B8" s="6" t="inlineStr">
        <is>
          <t>No sound/settings UI in game.html</t>
        </is>
      </c>
      <c r="C8" s="6" t="inlineStr">
        <is>
          <t>sounds.js has setSoundEnabled() and setSoundVolume() but there is no settings panel in the game HTML.</t>
        </is>
      </c>
      <c r="D8" s="6" t="inlineStr">
        <is>
          <t>client/templates</t>
        </is>
      </c>
      <c r="E8" s="6" t="inlineStr">
        <is>
          <t>Improvement</t>
        </is>
      </c>
      <c r="F8" s="8" t="inlineStr">
        <is>
          <t>Low</t>
        </is>
      </c>
      <c r="G8" s="6" t="inlineStr"/>
      <c r="H8" s="6" t="inlineStr"/>
      <c r="I8" s="6" t="inlineStr"/>
      <c r="J8" s="6" t="inlineStr"/>
      <c r="K8" s="5" t="inlineStr">
        <is>
          <t>Open</t>
        </is>
      </c>
      <c r="L8" s="6" t="inlineStr">
        <is>
          <t>CSS for settings panel exists in phase11-additions.css</t>
        </is>
      </c>
    </row>
    <row r="9">
      <c r="A9" s="3" t="inlineStr">
        <is>
          <t>J-007</t>
        </is>
      </c>
      <c r="B9" s="3" t="inlineStr">
        <is>
          <t>Hand overflows on small mobile screens</t>
        </is>
      </c>
      <c r="C9" s="3" t="inlineStr">
        <is>
          <t>On screens &lt;380px wide, holding 9 cards causes the hand to overflow the viewport horizontally.</t>
        </is>
      </c>
      <c r="D9" s="3" t="inlineStr">
        <is>
          <t>client/css</t>
        </is>
      </c>
      <c r="E9" s="3" t="inlineStr">
        <is>
          <t>Bug</t>
        </is>
      </c>
      <c r="F9" s="4" t="inlineStr">
        <is>
          <t>Medium</t>
        </is>
      </c>
      <c r="G9" s="3" t="inlineStr"/>
      <c r="H9" s="3" t="inlineStr"/>
      <c r="I9" s="3" t="inlineStr"/>
      <c r="J9" s="3" t="inlineStr"/>
      <c r="K9" s="5" t="inlineStr">
        <is>
          <t>Open</t>
        </is>
      </c>
      <c r="L9" s="3" t="inlineStr">
        <is>
          <t>Reduce card margin-left further or scale card size</t>
        </is>
      </c>
    </row>
    <row r="10">
      <c r="A10" s="6" t="inlineStr">
        <is>
          <t>J-008</t>
        </is>
      </c>
      <c r="B10" s="6" t="inlineStr">
        <is>
          <t>Weis (declarations) not implemented</t>
        </is>
      </c>
      <c r="C10" s="6" t="inlineStr">
        <is>
          <t>Standard Schieber rules include Weis — declaring sequences or four-of-a-kind before play. Noted as deferred in Phase 3.</t>
        </is>
      </c>
      <c r="D10" s="6" t="inlineStr">
        <is>
          <t>server/game</t>
        </is>
      </c>
      <c r="E10" s="6" t="inlineStr">
        <is>
          <t>Feature</t>
        </is>
      </c>
      <c r="F10" s="7" t="inlineStr">
        <is>
          <t>High</t>
        </is>
      </c>
      <c r="G10" s="6" t="inlineStr"/>
      <c r="H10" s="6" t="inlineStr"/>
      <c r="I10" s="6" t="inlineStr"/>
      <c r="J10" s="6" t="inlineStr"/>
      <c r="K10" s="3" t="inlineStr">
        <is>
          <t>Deferred</t>
        </is>
      </c>
      <c r="L10" s="6" t="inlineStr">
        <is>
          <t>Significant rule addition — needs design first</t>
        </is>
      </c>
    </row>
    <row r="11">
      <c r="A11" s="3" t="inlineStr">
        <is>
          <t>J-009</t>
        </is>
      </c>
      <c r="B11" s="3" t="inlineStr">
        <is>
          <t>No authentication on WebSocket</t>
        </is>
      </c>
      <c r="C11" s="3" t="inlineStr">
        <is>
          <t>Any client can connect as any player_id. For LAN play this is acceptable; for public servers it is a risk.</t>
        </is>
      </c>
      <c r="D11" s="3" t="inlineStr">
        <is>
          <t>server/sockets</t>
        </is>
      </c>
      <c r="E11" s="3" t="inlineStr">
        <is>
          <t>Improvement</t>
        </is>
      </c>
      <c r="F11" s="8" t="inlineStr">
        <is>
          <t>Low</t>
        </is>
      </c>
      <c r="G11" s="3" t="inlineStr"/>
      <c r="H11" s="3" t="inlineStr"/>
      <c r="I11" s="3" t="inlineStr"/>
      <c r="J11" s="3" t="inlineStr"/>
      <c r="K11" s="5" t="inlineStr">
        <is>
          <t>Open</t>
        </is>
      </c>
      <c r="L11" s="3" t="inlineStr">
        <is>
          <t>Simple token in /api/rooms response</t>
        </is>
      </c>
    </row>
    <row r="12" ht="40" customHeight="1">
      <c r="A12" s="6" t="inlineStr">
        <is>
          <t>J-010</t>
        </is>
      </c>
      <c r="B12" s="6" t="inlineStr">
        <is>
          <t>test_phase11.py uses hardcoded /mnt paths</t>
        </is>
      </c>
      <c r="C12" s="6" t="inlineStr">
        <is>
          <t>Tests check file existence at /mnt/user-data/outputs/... which only exists on the build machine.</t>
        </is>
      </c>
      <c r="D12" s="6" t="inlineStr">
        <is>
          <t>tests</t>
        </is>
      </c>
      <c r="E12" s="6" t="inlineStr">
        <is>
          <t>Bug</t>
        </is>
      </c>
      <c r="F12" s="7" t="inlineStr">
        <is>
          <t>High</t>
        </is>
      </c>
      <c r="G12" s="6" t="inlineStr"/>
      <c r="H12" s="6" t="inlineStr"/>
      <c r="I12" s="6" t="inlineStr"/>
      <c r="J12" s="6" t="inlineStr"/>
      <c r="K12" s="9" t="inlineStr">
        <is>
          <t>Fixed</t>
        </is>
      </c>
      <c r="L12" s="6" t="inlineStr">
        <is>
          <t>Fix with: sed -i s|/mnt/.../||g tests/test_phase11.py</t>
        </is>
      </c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</row>
    <row r="14">
      <c r="A14" s="6" t="inlineStr"/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</row>
    <row r="16">
      <c r="A16" s="6" t="inlineStr"/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</row>
    <row r="18">
      <c r="A18" s="6" t="inlineStr"/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</row>
    <row r="20">
      <c r="A20" s="6" t="inlineStr"/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</row>
    <row r="22">
      <c r="A22" s="6" t="inlineStr"/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</row>
    <row r="24">
      <c r="A24" s="6" t="inlineStr"/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</row>
    <row r="26">
      <c r="A26" s="6" t="inlineStr"/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</row>
    <row r="28">
      <c r="A28" s="6" t="inlineStr"/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</row>
    <row r="29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</row>
    <row r="30">
      <c r="A30" s="6" t="inlineStr"/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</row>
    <row r="3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</row>
    <row r="32">
      <c r="A32" s="6" t="inlineStr"/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</row>
  </sheetData>
  <autoFilter ref="A2:L32"/>
  <mergeCells count="1">
    <mergeCell ref="A1:L1"/>
  </mergeCells>
  <dataValidations count="4">
    <dataValidation sqref="E3:E200" showDropDown="0" showInputMessage="0" showErrorMessage="0" allowBlank="1" type="list">
      <formula1>"Bug,Improvement,Feature,Question"</formula1>
    </dataValidation>
    <dataValidation sqref="F3:F200" showDropDown="0" showInputMessage="0" showErrorMessage="0" allowBlank="1" type="list">
      <formula1>"Critical,High,Medium,Low"</formula1>
    </dataValidation>
    <dataValidation sqref="K3:K200" showDropDown="0" showInputMessage="0" showErrorMessage="0" allowBlank="1" type="list">
      <formula1>"Open,In Progress,Fixed,Verified,Deferred,Wont Fix"</formula1>
    </dataValidation>
    <dataValidation sqref="D3:D200" showDropDown="0" showInputMessage="0" showErrorMessage="0" allowBlank="1" type="list">
      <formula1>"server/game,server/bots,server/rooms,server/sockets,server/shared,client/js,client/css,client/templates,tests,docs,other"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16" customWidth="1" min="3" max="3"/>
    <col width="10" customWidth="1" min="4" max="4"/>
    <col width="12" customWidth="1" min="5" max="5"/>
    <col width="16" customWidth="1" min="6" max="6"/>
    <col width="12" customWidth="1" min="7" max="7"/>
    <col width="12" customWidth="1" min="8" max="8"/>
    <col width="14" customWidth="1" min="9" max="9"/>
  </cols>
  <sheetData>
    <row r="1" ht="28" customHeight="1">
      <c r="A1" s="10" t="inlineStr">
        <is>
          <t>JASS — V2 Task Board</t>
        </is>
      </c>
    </row>
    <row r="2" ht="22" customHeight="1">
      <c r="A2" s="2" t="inlineStr">
        <is>
          <t>Task ID</t>
        </is>
      </c>
      <c r="B2" s="2" t="inlineStr">
        <is>
          <t>Task Title</t>
        </is>
      </c>
      <c r="C2" s="2" t="inlineStr">
        <is>
          <t>Category</t>
        </is>
      </c>
      <c r="D2" s="2" t="inlineStr">
        <is>
          <t>Effort</t>
        </is>
      </c>
      <c r="E2" s="2" t="inlineStr">
        <is>
          <t>Issue Ref</t>
        </is>
      </c>
      <c r="F2" s="2" t="inlineStr">
        <is>
          <t>Owner</t>
        </is>
      </c>
      <c r="G2" s="2" t="inlineStr">
        <is>
          <t>Start Date</t>
        </is>
      </c>
      <c r="H2" s="2" t="inlineStr">
        <is>
          <t>Deadline</t>
        </is>
      </c>
      <c r="I2" s="2" t="inlineStr">
        <is>
          <t>Status</t>
        </is>
      </c>
    </row>
    <row r="3">
      <c r="A3" s="3" t="inlineStr">
        <is>
          <t>V2-01</t>
        </is>
      </c>
      <c r="B3" s="3" t="inlineStr">
        <is>
          <t>Wire animations.js into game.js event handlers</t>
        </is>
      </c>
      <c r="C3" s="3" t="inlineStr">
        <is>
          <t>Frontend</t>
        </is>
      </c>
      <c r="D3" s="9" t="inlineStr">
        <is>
          <t>Low</t>
        </is>
      </c>
      <c r="E3" s="3" t="inlineStr">
        <is>
          <t>J-001</t>
        </is>
      </c>
      <c r="F3" s="3" t="inlineStr"/>
      <c r="G3" s="3" t="inlineStr"/>
      <c r="H3" s="3" t="inlineStr"/>
      <c r="I3" s="6" t="inlineStr">
        <is>
          <t>Not Started</t>
        </is>
      </c>
    </row>
    <row r="4">
      <c r="A4" s="6" t="inlineStr">
        <is>
          <t>V2-02</t>
        </is>
      </c>
      <c r="B4" s="6" t="inlineStr">
        <is>
          <t>Add settings panel HTML to game.html</t>
        </is>
      </c>
      <c r="C4" s="6" t="inlineStr">
        <is>
          <t>Frontend</t>
        </is>
      </c>
      <c r="D4" s="9" t="inlineStr">
        <is>
          <t>Low</t>
        </is>
      </c>
      <c r="E4" s="6" t="inlineStr">
        <is>
          <t>J-006</t>
        </is>
      </c>
      <c r="F4" s="6" t="inlineStr"/>
      <c r="G4" s="6" t="inlineStr"/>
      <c r="H4" s="6" t="inlineStr"/>
      <c r="I4" s="6" t="inlineStr">
        <is>
          <t>Not Started</t>
        </is>
      </c>
    </row>
    <row r="5">
      <c r="A5" s="3" t="inlineStr">
        <is>
          <t>V2-03</t>
        </is>
      </c>
      <c r="B5" s="3" t="inlineStr">
        <is>
          <t>Add bot move delay (asyncio.sleep)</t>
        </is>
      </c>
      <c r="C5" s="3" t="inlineStr">
        <is>
          <t>Backend</t>
        </is>
      </c>
      <c r="D5" s="9" t="inlineStr">
        <is>
          <t>Low</t>
        </is>
      </c>
      <c r="E5" s="3" t="inlineStr">
        <is>
          <t>J-003</t>
        </is>
      </c>
      <c r="F5" s="3" t="inlineStr"/>
      <c r="G5" s="3" t="inlineStr"/>
      <c r="H5" s="3" t="inlineStr"/>
      <c r="I5" s="6" t="inlineStr">
        <is>
          <t>Not Started</t>
        </is>
      </c>
    </row>
    <row r="6">
      <c r="A6" s="6" t="inlineStr">
        <is>
          <t>V2-04</t>
        </is>
      </c>
      <c r="B6" s="6" t="inlineStr">
        <is>
          <t>Highlight legal cards before selection</t>
        </is>
      </c>
      <c r="C6" s="6" t="inlineStr">
        <is>
          <t>Frontend</t>
        </is>
      </c>
      <c r="D6" s="11" t="inlineStr">
        <is>
          <t>Medium</t>
        </is>
      </c>
      <c r="E6" s="6" t="inlineStr"/>
      <c r="F6" s="6" t="inlineStr"/>
      <c r="G6" s="6" t="inlineStr"/>
      <c r="H6" s="6" t="inlineStr"/>
      <c r="I6" s="6" t="inlineStr">
        <is>
          <t>Not Started</t>
        </is>
      </c>
    </row>
    <row r="7">
      <c r="A7" s="3" t="inlineStr">
        <is>
          <t>V2-05</t>
        </is>
      </c>
      <c r="B7" s="3" t="inlineStr">
        <is>
          <t>Show LAN servers in lobby</t>
        </is>
      </c>
      <c r="C7" s="3" t="inlineStr">
        <is>
          <t>Frontend</t>
        </is>
      </c>
      <c r="D7" s="11" t="inlineStr">
        <is>
          <t>Medium</t>
        </is>
      </c>
      <c r="E7" s="3" t="inlineStr">
        <is>
          <t>J-005</t>
        </is>
      </c>
      <c r="F7" s="3" t="inlineStr"/>
      <c r="G7" s="3" t="inlineStr"/>
      <c r="H7" s="3" t="inlineStr"/>
      <c r="I7" s="6" t="inlineStr">
        <is>
          <t>Not Started</t>
        </is>
      </c>
    </row>
    <row r="8">
      <c r="A8" s="6" t="inlineStr">
        <is>
          <t>V2-06</t>
        </is>
      </c>
      <c r="B8" s="6" t="inlineStr">
        <is>
          <t>Move variant state into GameState</t>
        </is>
      </c>
      <c r="C8" s="6" t="inlineStr">
        <is>
          <t>Backend</t>
        </is>
      </c>
      <c r="D8" s="11" t="inlineStr">
        <is>
          <t>Medium</t>
        </is>
      </c>
      <c r="E8" s="6" t="inlineStr">
        <is>
          <t>J-002</t>
        </is>
      </c>
      <c r="F8" s="6" t="inlineStr"/>
      <c r="G8" s="6" t="inlineStr"/>
      <c r="H8" s="6" t="inlineStr"/>
      <c r="I8" s="6" t="inlineStr">
        <is>
          <t>Not Started</t>
        </is>
      </c>
    </row>
    <row r="9">
      <c r="A9" s="3" t="inlineStr">
        <is>
          <t>V2-07</t>
        </is>
      </c>
      <c r="B9" s="3" t="inlineStr">
        <is>
          <t>Fix mobile hand overflow</t>
        </is>
      </c>
      <c r="C9" s="3" t="inlineStr">
        <is>
          <t>Frontend</t>
        </is>
      </c>
      <c r="D9" s="9" t="inlineStr">
        <is>
          <t>Low</t>
        </is>
      </c>
      <c r="E9" s="3" t="inlineStr">
        <is>
          <t>J-007</t>
        </is>
      </c>
      <c r="F9" s="3" t="inlineStr"/>
      <c r="G9" s="3" t="inlineStr"/>
      <c r="H9" s="3" t="inlineStr"/>
      <c r="I9" s="6" t="inlineStr">
        <is>
          <t>Not Started</t>
        </is>
      </c>
    </row>
    <row r="10">
      <c r="A10" s="6" t="inlineStr">
        <is>
          <t>V2-08</t>
        </is>
      </c>
      <c r="B10" s="6" t="inlineStr">
        <is>
          <t>Show available Coiffeur modes in trump picker</t>
        </is>
      </c>
      <c r="C10" s="6" t="inlineStr">
        <is>
          <t>Frontend</t>
        </is>
      </c>
      <c r="D10" s="11" t="inlineStr">
        <is>
          <t>Medium</t>
        </is>
      </c>
      <c r="E10" s="6" t="inlineStr">
        <is>
          <t>J-004</t>
        </is>
      </c>
      <c r="F10" s="6" t="inlineStr"/>
      <c r="G10" s="6" t="inlineStr"/>
      <c r="H10" s="6" t="inlineStr"/>
      <c r="I10" s="6" t="inlineStr">
        <is>
          <t>Not Started</t>
        </is>
      </c>
    </row>
    <row r="11">
      <c r="A11" s="3" t="inlineStr">
        <is>
          <t>V2-09</t>
        </is>
      </c>
      <c r="B11" s="3" t="inlineStr">
        <is>
          <t>Add Playwright end-to-end tests</t>
        </is>
      </c>
      <c r="C11" s="3" t="inlineStr">
        <is>
          <t>Testing</t>
        </is>
      </c>
      <c r="D11" s="11" t="inlineStr">
        <is>
          <t>Medium</t>
        </is>
      </c>
      <c r="E11" s="3" t="inlineStr"/>
      <c r="F11" s="3" t="inlineStr"/>
      <c r="G11" s="3" t="inlineStr"/>
      <c r="H11" s="3" t="inlineStr"/>
      <c r="I11" s="6" t="inlineStr">
        <is>
          <t>Not Started</t>
        </is>
      </c>
    </row>
    <row r="12">
      <c r="A12" s="6" t="inlineStr">
        <is>
          <t>V2-10</t>
        </is>
      </c>
      <c r="B12" s="6" t="inlineStr">
        <is>
          <t>Rematch button after game_over</t>
        </is>
      </c>
      <c r="C12" s="6" t="inlineStr">
        <is>
          <t>UX</t>
        </is>
      </c>
      <c r="D12" s="9" t="inlineStr">
        <is>
          <t>Low</t>
        </is>
      </c>
      <c r="E12" s="6" t="inlineStr"/>
      <c r="F12" s="6" t="inlineStr"/>
      <c r="G12" s="6" t="inlineStr"/>
      <c r="H12" s="6" t="inlineStr"/>
      <c r="I12" s="6" t="inlineStr">
        <is>
          <t>Not Started</t>
        </is>
      </c>
    </row>
    <row r="13">
      <c r="A13" s="3" t="inlineStr">
        <is>
          <t>V2-11</t>
        </is>
      </c>
      <c r="B13" s="3" t="inlineStr">
        <is>
          <t>Shorter room codes (4 chars)</t>
        </is>
      </c>
      <c r="C13" s="3" t="inlineStr">
        <is>
          <t>UX</t>
        </is>
      </c>
      <c r="D13" s="9" t="inlineStr">
        <is>
          <t>Low</t>
        </is>
      </c>
      <c r="E13" s="3" t="inlineStr"/>
      <c r="F13" s="3" t="inlineStr"/>
      <c r="G13" s="3" t="inlineStr"/>
      <c r="H13" s="3" t="inlineStr"/>
      <c r="I13" s="6" t="inlineStr">
        <is>
          <t>Not Started</t>
        </is>
      </c>
    </row>
    <row r="14">
      <c r="A14" s="6" t="inlineStr">
        <is>
          <t>V2-12</t>
        </is>
      </c>
      <c r="B14" s="6" t="inlineStr">
        <is>
          <t>Score history chart per round</t>
        </is>
      </c>
      <c r="C14" s="6" t="inlineStr">
        <is>
          <t>Frontend</t>
        </is>
      </c>
      <c r="D14" s="11" t="inlineStr">
        <is>
          <t>Medium</t>
        </is>
      </c>
      <c r="E14" s="6" t="inlineStr"/>
      <c r="F14" s="6" t="inlineStr"/>
      <c r="G14" s="6" t="inlineStr"/>
      <c r="H14" s="6" t="inlineStr"/>
      <c r="I14" s="6" t="inlineStr">
        <is>
          <t>Not Started</t>
        </is>
      </c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</row>
    <row r="16">
      <c r="A16" s="6" t="inlineStr"/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</row>
    <row r="18">
      <c r="A18" s="6" t="inlineStr"/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</row>
    <row r="20">
      <c r="A20" s="6" t="inlineStr"/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</row>
    <row r="22">
      <c r="A22" s="6" t="inlineStr"/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</row>
  </sheetData>
  <autoFilter ref="A2:I22"/>
  <mergeCells count="1">
    <mergeCell ref="A1:I1"/>
  </mergeCells>
  <dataValidations count="3">
    <dataValidation sqref="C3:C100" showDropDown="0" showInputMessage="0" showErrorMessage="0" allowBlank="1" type="list">
      <formula1>"Frontend,Backend,Testing,UX,Docs"</formula1>
    </dataValidation>
    <dataValidation sqref="D3:D100" showDropDown="0" showInputMessage="0" showErrorMessage="0" allowBlank="1" type="list">
      <formula1>"Low,Medium,High"</formula1>
    </dataValidation>
    <dataValidation sqref="I3:I100" showDropDown="0" showInputMessage="0" showErrorMessage="0" allowBlank="1" type="list">
      <formula1>"Not Started,In Progress,Done,Blocked"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6" customWidth="1" min="3" max="3"/>
    <col width="28" customWidth="1" min="4" max="4"/>
    <col width="40" customWidth="1" min="5" max="5"/>
    <col width="40" customWidth="1" min="6" max="6"/>
    <col width="14" customWidth="1" min="7" max="7"/>
  </cols>
  <sheetData>
    <row r="1" ht="28" customHeight="1">
      <c r="A1" s="10" t="inlineStr">
        <is>
          <t>JASS — Meeting Log</t>
        </is>
      </c>
    </row>
    <row r="2" ht="22" customHeight="1">
      <c r="A2" s="2" t="inlineStr">
        <is>
          <t>#</t>
        </is>
      </c>
      <c r="B2" s="2" t="inlineStr">
        <is>
          <t>Date</t>
        </is>
      </c>
      <c r="C2" s="2" t="inlineStr">
        <is>
          <t>Type</t>
        </is>
      </c>
      <c r="D2" s="2" t="inlineStr">
        <is>
          <t>Attendees</t>
        </is>
      </c>
      <c r="E2" s="2" t="inlineStr">
        <is>
          <t>Key Decisions</t>
        </is>
      </c>
      <c r="F2" s="2" t="inlineStr">
        <is>
          <t>Action Items</t>
        </is>
      </c>
      <c r="G2" s="2" t="inlineStr">
        <is>
          <t>Next Meeting</t>
        </is>
      </c>
    </row>
    <row r="3" ht="48" customHeight="1">
      <c r="A3" s="3" t="inlineStr">
        <is>
          <t>1</t>
        </is>
      </c>
      <c r="B3" s="3" t="inlineStr"/>
      <c r="C3" s="3" t="inlineStr">
        <is>
          <t>Kick-off</t>
        </is>
      </c>
      <c r="D3" s="3" t="inlineStr"/>
      <c r="E3" s="3" t="inlineStr">
        <is>
          <t>Assign code modules per member. Define V2 scope.</t>
        </is>
      </c>
      <c r="F3" s="3" t="inlineStr">
        <is>
          <t>Fill issue tracker before next meeting.</t>
        </is>
      </c>
      <c r="G3" s="3" t="inlineStr"/>
    </row>
    <row r="4" ht="48" customHeight="1">
      <c r="A4" s="6" t="inlineStr">
        <is>
          <t>2</t>
        </is>
      </c>
      <c r="B4" s="6" t="inlineStr"/>
      <c r="C4" s="6" t="inlineStr">
        <is>
          <t>Code Review</t>
        </is>
      </c>
      <c r="D4" s="6" t="inlineStr"/>
      <c r="E4" s="6" t="inlineStr">
        <is>
          <t>Triage all issues. Assign V2 tasks to owners.</t>
        </is>
      </c>
      <c r="F4" s="6" t="inlineStr">
        <is>
          <t>Each owner fixes assigned tasks.</t>
        </is>
      </c>
      <c r="G4" s="6" t="inlineStr"/>
    </row>
    <row r="5" ht="48" customHeight="1">
      <c r="A5" s="3" t="inlineStr">
        <is>
          <t>3</t>
        </is>
      </c>
      <c r="B5" s="3" t="inlineStr"/>
      <c r="C5" s="3" t="inlineStr">
        <is>
          <t>V2 Release</t>
        </is>
      </c>
      <c r="D5" s="3" t="inlineStr"/>
      <c r="E5" s="3" t="inlineStr">
        <is>
          <t>Demo V2 features. Run test suite.</t>
        </is>
      </c>
      <c r="F5" s="3" t="inlineStr">
        <is>
          <t>Tag v2.0.0. Write changelog.</t>
        </is>
      </c>
      <c r="G5" s="3" t="inlineStr"/>
    </row>
    <row r="6" ht="48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</row>
    <row r="7" ht="48" customHeight="1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  <row r="8" ht="48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</row>
    <row r="9" ht="48" customHeight="1">
      <c r="A9" s="3" t="inlineStr"/>
      <c r="B9" s="3" t="inlineStr"/>
      <c r="C9" s="3" t="inlineStr"/>
      <c r="D9" s="3" t="inlineStr"/>
      <c r="E9" s="3" t="inlineStr"/>
      <c r="F9" s="3" t="inlineStr"/>
      <c r="G9" s="3" t="inlineStr"/>
    </row>
    <row r="10" ht="48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</row>
  </sheetData>
  <mergeCells count="1">
    <mergeCell ref="A1:G1"/>
  </mergeCells>
  <dataValidations count="1">
    <dataValidation sqref="C3:C50" showDropDown="0" showInputMessage="0" showErrorMessage="0" allowBlank="1" type="list">
      <formula1>"Kick-off,Code Review,Planning,V2 Release,Retrospective,Other"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38" customWidth="1" min="3" max="3"/>
    <col width="28" customWidth="1" min="4" max="4"/>
    <col width="36" customWidth="1" min="5" max="5"/>
  </cols>
  <sheetData>
    <row r="1" ht="28" customHeight="1">
      <c r="A1" s="10" t="inlineStr">
        <is>
          <t>JASS — Module Guide for Code Reviewers</t>
        </is>
      </c>
    </row>
    <row r="2" ht="22" customHeight="1">
      <c r="A2" s="2" t="inlineStr">
        <is>
          <t>File / Module</t>
        </is>
      </c>
      <c r="B2" s="2" t="inlineStr">
        <is>
          <t>What it does</t>
        </is>
      </c>
      <c r="C2" s="2" t="inlineStr">
        <is>
          <t>Key functions / classes</t>
        </is>
      </c>
      <c r="D2" s="2" t="inlineStr">
        <is>
          <t>Depends on</t>
        </is>
      </c>
      <c r="E2" s="2" t="inlineStr">
        <is>
          <t>Review focus</t>
        </is>
      </c>
    </row>
    <row r="3" ht="52" customHeight="1">
      <c r="A3" s="12" t="inlineStr">
        <is>
          <t>server/shared/types.py</t>
        </is>
      </c>
      <c r="B3" s="3" t="inlineStr">
        <is>
          <t>All Pydantic data models. Single source of truth for Card, Player, GameState, etc.</t>
        </is>
      </c>
      <c r="C3" s="3" t="inlineStr">
        <is>
          <t>Card, Player, Trick, Room, GameState, TrumpMode, GamePhase</t>
        </is>
      </c>
      <c r="D3" s="3" t="inlineStr">
        <is>
          <t>pydantic</t>
        </is>
      </c>
      <c r="E3" s="3" t="inlineStr">
        <is>
          <t>Model completeness. Are all necessary fields present? Any fields that should be Optional aren't?</t>
        </is>
      </c>
    </row>
    <row r="4" ht="52" customHeight="1">
      <c r="A4" s="13" t="inlineStr">
        <is>
          <t>server/shared/constants.py</t>
        </is>
      </c>
      <c r="B4" s="6" t="inlineStr">
        <is>
          <t>Card point values, rank orders, deck composition, scoring constants.</t>
        </is>
      </c>
      <c r="C4" s="6" t="inlineStr">
        <is>
          <t>TRUMP_CARD_POINTS, NORMAL_RANK_ORDER, TRUMP_RANK_ORDER, WINNING_SCORE</t>
        </is>
      </c>
      <c r="D4" s="6" t="inlineStr">
        <is>
          <t>types.py</t>
        </is>
      </c>
      <c r="E4" s="6" t="inlineStr">
        <is>
          <t>Verify Buur=20, Nell=14, last trick bonus=5, match bonus=100. Check rank orders.</t>
        </is>
      </c>
    </row>
    <row r="5" ht="52" customHeight="1">
      <c r="A5" s="12" t="inlineStr">
        <is>
          <t>server/game/deck.py</t>
        </is>
      </c>
      <c r="B5" s="3" t="inlineStr">
        <is>
          <t>Build, shuffle, and deal the 36-card Jass deck.</t>
        </is>
      </c>
      <c r="C5" s="3" t="inlineStr">
        <is>
          <t>build_deck(), shuffle(), deal(), deal_to_players(), remove_card()</t>
        </is>
      </c>
      <c r="D5" s="3" t="inlineStr">
        <is>
          <t>types.py, constants.py</t>
        </is>
      </c>
      <c r="E5" s="3" t="inlineStr">
        <is>
          <t>Does deal() use round-robin (real Jass)? Does remove_card() handle edge cases?</t>
        </is>
      </c>
    </row>
    <row r="6" ht="52" customHeight="1">
      <c r="A6" s="13" t="inlineStr">
        <is>
          <t>server/game/variants/schieber.py</t>
        </is>
      </c>
      <c r="B6" s="6" t="inlineStr">
        <is>
          <t>Schieber rule implementation: trump selection, card ranking, legal moves, scoring.</t>
        </is>
      </c>
      <c r="C6" s="6" t="inlineStr">
        <is>
          <t>card_rank_value(), get_legal_moves(), score_trick(), score_game(), is_buur(), is_nell()</t>
        </is>
      </c>
      <c r="D6" s="6" t="inlineStr">
        <is>
          <t>base.py, constants.py</t>
        </is>
      </c>
      <c r="E6" s="6" t="inlineStr">
        <is>
          <t>Buur exception in legal moves. Correct trump rank order. Obenabe/Undeufe modes.</t>
        </is>
      </c>
    </row>
    <row r="7" ht="52" customHeight="1">
      <c r="A7" s="12" t="inlineStr">
        <is>
          <t>server/game/variants/differenzler.py</t>
        </is>
      </c>
      <c r="B7" s="3" t="inlineStr">
        <is>
          <t>Differenzler: individual predictions, penalty = |prediction - actual|.</t>
        </is>
      </c>
      <c r="C7" s="3" t="inlineStr">
        <is>
          <t>set_prediction(), get_prediction(), _compute_player_penalties(), is_game_over()</t>
        </is>
      </c>
      <c r="D7" s="3" t="inlineStr">
        <is>
          <t>schieber.py (delegates card logic)</t>
        </is>
      </c>
      <c r="E7" s="3" t="inlineStr">
        <is>
          <t>Predictions stored in module-level dict — lost on restart. Last-trick bonus included in actual?</t>
        </is>
      </c>
    </row>
    <row r="8" ht="52" customHeight="1">
      <c r="A8" s="13" t="inlineStr">
        <is>
          <t>server/game/variants/coiffeur.py</t>
        </is>
      </c>
      <c r="B8" s="6" t="inlineStr">
        <is>
          <t>Coiffeur: each team plays all 6 modes. Repeat = doubled points.</t>
        </is>
      </c>
      <c r="C8" s="6" t="inlineStr">
        <is>
          <t>record_mode_played(), is_mode_played(), get_available_modes(), on_round_start()</t>
        </is>
      </c>
      <c r="D8" s="6" t="inlineStr">
        <is>
          <t>schieber.py (delegates card logic)</t>
        </is>
      </c>
      <c r="E8" s="6" t="inlineStr">
        <is>
          <t>Mode tracking correct? Doubling only applies to trump-choosing team?</t>
        </is>
      </c>
    </row>
    <row r="9" ht="52" customHeight="1">
      <c r="A9" s="12" t="inlineStr">
        <is>
          <t>server/game/engine.py</t>
        </is>
      </c>
      <c r="B9" s="3" t="inlineStr">
        <is>
          <t>Authoritative game loop. Only place where GameState is mutated.</t>
        </is>
      </c>
      <c r="C9" s="3" t="inlineStr">
        <is>
          <t>start(), choose_trump(), play_card(), get_state_for(), start_next_round()</t>
        </is>
      </c>
      <c r="D9" s="3" t="inlineStr">
        <is>
          <t>deck, rules, scoring, variants</t>
        </is>
      </c>
      <c r="E9" s="3" t="inlineStr">
        <is>
          <t>Does play_card() correctly advance bots? Are hands hidden in get_state_for()?</t>
        </is>
      </c>
    </row>
    <row r="10" ht="52" customHeight="1">
      <c r="A10" s="13" t="inlineStr">
        <is>
          <t>server/game/rules.py</t>
        </is>
      </c>
      <c r="B10" s="6" t="inlineStr">
        <is>
          <t>Move validation and turn helpers between engine and variants.</t>
        </is>
      </c>
      <c r="C10" s="6" t="inlineStr">
        <is>
          <t>get_legal_moves(), validate_play(), assign_teams(), get_partner_id()</t>
        </is>
      </c>
      <c r="D10" s="6" t="inlineStr">
        <is>
          <t>types.py, variants</t>
        </is>
      </c>
      <c r="E10" s="6" t="inlineStr">
        <is>
          <t>Error messages descriptive? validate_play() check order (phase→turn→hand→legal)?</t>
        </is>
      </c>
    </row>
    <row r="11" ht="52" customHeight="1">
      <c r="A11" s="12" t="inlineStr">
        <is>
          <t>server/game/scoring.py</t>
        </is>
      </c>
      <c r="B11" s="3" t="inlineStr">
        <is>
          <t>Apply scores to GameState, detect game over, summaries.</t>
        </is>
      </c>
      <c r="C11" s="3" t="inlineStr">
        <is>
          <t>score_completed_trick(), apply_round_scores(), get_game_winner(), round_score_summary()</t>
        </is>
      </c>
      <c r="D11" s="3" t="inlineStr">
        <is>
          <t>types.py, variants</t>
        </is>
      </c>
      <c r="E11" s="3" t="inlineStr">
        <is>
          <t>Does apply_round_scores() correctly accumulate across rounds? Immutable (returns new state)?</t>
        </is>
      </c>
    </row>
    <row r="12" ht="52" customHeight="1">
      <c r="A12" s="13" t="inlineStr">
        <is>
          <t>server/bots/rule_based_bot.py</t>
        </is>
      </c>
      <c r="B12" s="6" t="inlineStr">
        <is>
          <t>Heuristic Jass bot: trump selection, lead strategy, follow strategy.</t>
        </is>
      </c>
      <c r="C12" s="6" t="inlineStr">
        <is>
          <t>choose_trump(), choose_card(), _lead(), _follow(), _discard_cheap()</t>
        </is>
      </c>
      <c r="D12" s="6" t="inlineStr">
        <is>
          <t>types.py, constants.py</t>
        </is>
      </c>
      <c r="E12" s="6" t="inlineStr">
        <is>
          <t>Does bot always return a legal card? Test edge cases (only one card legal, all trump, etc.)</t>
        </is>
      </c>
    </row>
    <row r="13" ht="52" customHeight="1">
      <c r="A13" s="12" t="inlineStr">
        <is>
          <t>server/rooms/room_manager.py</t>
        </is>
      </c>
      <c r="B13" s="3" t="inlineStr">
        <is>
          <t>Lobby management: create/join/leave rooms, bot fill-in, game lifecycle routing.</t>
        </is>
      </c>
      <c r="C13" s="3" t="inlineStr">
        <is>
          <t>create_room(), join_room(), fill_with_bots(), start_game(), play_card()</t>
        </is>
      </c>
      <c r="D13" s="3" t="inlineStr">
        <is>
          <t>engine, bots, variants</t>
        </is>
      </c>
      <c r="E13" s="3" t="inlineStr">
        <is>
          <t>Thread safety (plain dicts). Bot auto-trump after start_game(). Disconnection handling.</t>
        </is>
      </c>
    </row>
    <row r="14" ht="52" customHeight="1">
      <c r="A14" s="13" t="inlineStr">
        <is>
          <t>server/sockets/handlers.py</t>
        </is>
      </c>
      <c r="B14" s="6" t="inlineStr">
        <is>
          <t>WebSocket event routing. ConnectionManager broadcasts personalised state.</t>
        </is>
      </c>
      <c r="C14" s="6" t="inlineStr">
        <is>
          <t>handle_event(), ConnectionManager, broadcast_state(), _handle_play_card()</t>
        </is>
      </c>
      <c r="D14" s="6" t="inlineStr">
        <is>
          <t>room_manager, events.py</t>
        </is>
      </c>
      <c r="E14" s="6" t="inlineStr">
        <is>
          <t>Does _handle_play_card() correctly detect trick/round/game completion? Error propagation.</t>
        </is>
      </c>
    </row>
    <row r="15" ht="52" customHeight="1">
      <c r="A15" s="12" t="inlineStr">
        <is>
          <t>client/static/js/game.js</t>
        </is>
      </c>
      <c r="B15" s="3" t="inlineStr">
        <is>
          <t>Game board rendering and state management.</t>
        </is>
      </c>
      <c r="C15" s="3" t="inlineStr">
        <is>
          <t>initGame(), render(), onCardClick(), onTrickComplete(), showTrumpPicker()</t>
        </is>
      </c>
      <c r="D15" s="3" t="inlineStr">
        <is>
          <t>socket.js</t>
        </is>
      </c>
      <c r="E15" s="3" t="inlineStr">
        <is>
          <t>Is selectedCard state cleaned up correctly? Hand rendering on mobile.</t>
        </is>
      </c>
    </row>
    <row r="16" ht="52" customHeight="1">
      <c r="A16" s="13" t="inlineStr">
        <is>
          <t>client/static/js/socket.js</t>
        </is>
      </c>
      <c r="B16" s="6" t="inlineStr">
        <is>
          <t>WebSocket client with auto-reconnect.</t>
        </is>
      </c>
      <c r="C16" s="6" t="inlineStr">
        <is>
          <t>connect(), send(), on(), off(), getOrCreatePlayerId()</t>
        </is>
      </c>
      <c r="D16" s="6" t="inlineStr">
        <is>
          <t>browser WebSocket API</t>
        </is>
      </c>
      <c r="E16" s="6" t="inlineStr">
        <is>
          <t>Reconnect backoff correct? Player ID persistence in localStorage.</t>
        </is>
      </c>
    </row>
    <row r="17" ht="52" customHeight="1">
      <c r="A17" s="12" t="inlineStr">
        <is>
          <t>client/static/js/animations.js</t>
        </is>
      </c>
      <c r="B17" s="3" t="inlineStr">
        <is>
          <t>Web Animations API — deal, play, collect, score, shake.</t>
        </is>
      </c>
      <c r="C17" s="3" t="inlineStr">
        <is>
          <t>animateDeal(), animateCardPlay(), animateTrickCollect(), animateScoreReveal()</t>
        </is>
      </c>
      <c r="D17" s="3" t="inlineStr">
        <is>
          <t>browser Web Animations API</t>
        </is>
      </c>
      <c r="E17" s="3" t="inlineStr">
        <is>
          <t>Are these actually called from game.js? Test on Firefox (WA API support).</t>
        </is>
      </c>
    </row>
  </sheetData>
  <autoFilter ref="A2:E18"/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0" t="inlineStr">
        <is>
          <t>JASS — Project Dashboard</t>
        </is>
      </c>
    </row>
    <row r="3" ht="22" customHeight="1">
      <c r="A3" s="2" t="inlineStr">
        <is>
          <t>Total Issues</t>
        </is>
      </c>
      <c r="B3" s="14" t="inlineStr">
        <is>
          <t>Open</t>
        </is>
      </c>
      <c r="C3" s="15" t="inlineStr">
        <is>
          <t>Fixed</t>
        </is>
      </c>
      <c r="D3" s="16" t="inlineStr">
        <is>
          <t>Critical</t>
        </is>
      </c>
      <c r="E3" s="17" t="inlineStr">
        <is>
          <t>V2 Tasks</t>
        </is>
      </c>
      <c r="F3" s="2" t="inlineStr">
        <is>
          <t>V2 Done</t>
        </is>
      </c>
    </row>
    <row r="4" ht="36" customHeight="1">
      <c r="A4" s="18">
        <f>COUNTA('🐛 Issue Tracker'!A3:A200)-COUNTBLANK('🐛 Issue Tracker'!A3:A200)</f>
        <v/>
      </c>
      <c r="B4" s="19">
        <f>COUNTIF('🐛 Issue Tracker'!K3:K200,"Open")</f>
        <v/>
      </c>
      <c r="C4" s="20">
        <f>COUNTIF('🐛 Issue Tracker'!K3:K200,"Fixed")</f>
        <v/>
      </c>
      <c r="D4" s="21">
        <f>COUNTIF('🐛 Issue Tracker'!F3:F200,"Critical")</f>
        <v/>
      </c>
      <c r="E4" s="22">
        <f>COUNTA('📋 V2 Task Board'!A3:A100)-COUNTBLANK('📋 V2 Task Board'!A3:A100)</f>
        <v/>
      </c>
      <c r="F4" s="18">
        <f>COUNTIF('📋 V2 Task Board'!I3:I100,"Done")</f>
        <v/>
      </c>
    </row>
    <row r="6" ht="20" customHeight="1">
      <c r="A6" s="23" t="inlineStr">
        <is>
          <t>Issues by Severity</t>
        </is>
      </c>
      <c r="D6" s="23" t="inlineStr">
        <is>
          <t>Issues by Status</t>
        </is>
      </c>
    </row>
    <row r="7" ht="20" customHeight="1">
      <c r="A7" s="24" t="inlineStr">
        <is>
          <t>Critical</t>
        </is>
      </c>
      <c r="B7" s="25">
        <f>COUNTIF('🐛 Issue Tracker'!F3:F200,"Critical")</f>
        <v/>
      </c>
      <c r="D7" s="7" t="inlineStr">
        <is>
          <t>Open</t>
        </is>
      </c>
      <c r="E7" s="26">
        <f>COUNTIF('🐛 Issue Tracker'!K3:K200,"Open")</f>
        <v/>
      </c>
    </row>
    <row r="8" ht="20" customHeight="1">
      <c r="A8" s="7" t="inlineStr">
        <is>
          <t>High</t>
        </is>
      </c>
      <c r="B8" s="26">
        <f>COUNTIF('🐛 Issue Tracker'!F3:F200,"High")</f>
        <v/>
      </c>
      <c r="D8" s="4" t="inlineStr">
        <is>
          <t>In Progress</t>
        </is>
      </c>
      <c r="E8" s="27">
        <f>COUNTIF('🐛 Issue Tracker'!K3:K200,"In Progress")</f>
        <v/>
      </c>
    </row>
    <row r="9" ht="20" customHeight="1">
      <c r="A9" s="4" t="inlineStr">
        <is>
          <t>Medium</t>
        </is>
      </c>
      <c r="B9" s="27">
        <f>COUNTIF('🐛 Issue Tracker'!F3:F200,"Medium")</f>
        <v/>
      </c>
      <c r="D9" s="28" t="inlineStr">
        <is>
          <t>Fixed</t>
        </is>
      </c>
      <c r="E9" s="29">
        <f>COUNTIF('🐛 Issue Tracker'!K3:K200,"Fixed")</f>
        <v/>
      </c>
    </row>
    <row r="10" ht="20" customHeight="1">
      <c r="A10" s="28" t="inlineStr">
        <is>
          <t>Low</t>
        </is>
      </c>
      <c r="B10" s="29">
        <f>COUNTIF('🐛 Issue Tracker'!F3:F200,"Low")</f>
        <v/>
      </c>
      <c r="D10" s="30" t="inlineStr">
        <is>
          <t>Verified</t>
        </is>
      </c>
      <c r="E10" s="31">
        <f>COUNTIF('🐛 Issue Tracker'!K3:K200,"Verified")</f>
        <v/>
      </c>
    </row>
    <row r="12" ht="20" customHeight="1">
      <c r="A12" s="23" t="inlineStr">
        <is>
          <t>V2 Progress</t>
        </is>
      </c>
    </row>
    <row r="13" ht="20" customHeight="1">
      <c r="A13" s="32" t="inlineStr">
        <is>
          <t>Not Started</t>
        </is>
      </c>
      <c r="B13" s="33">
        <f>COUNTIF('📋 V2 Task Board'!I3:I100,"Not Started")</f>
        <v/>
      </c>
    </row>
    <row r="14" ht="20" customHeight="1">
      <c r="A14" s="7" t="inlineStr">
        <is>
          <t>In Progress</t>
        </is>
      </c>
      <c r="B14" s="26">
        <f>COUNTIF('📋 V2 Task Board'!I3:I100,"In Progress")</f>
        <v/>
      </c>
    </row>
    <row r="15" ht="20" customHeight="1">
      <c r="A15" s="8" t="inlineStr">
        <is>
          <t>Done</t>
        </is>
      </c>
      <c r="B15" s="34">
        <f>COUNTIF('📋 V2 Task Board'!I3:I100,"Done")</f>
        <v/>
      </c>
    </row>
    <row r="16" ht="20" customHeight="1">
      <c r="A16" s="24" t="inlineStr">
        <is>
          <t>Blocked</t>
        </is>
      </c>
      <c r="B16" s="25">
        <f>COUNTIF('📋 V2 Task Board'!I3:I100,"Blocked")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2026-04-24T09:38:49Z</dcterms:created>
  <dcterms:modified xmlns:dcterms="http://purl.org/dc/terms/" xmlns:xsi="http://www.w3.org/2001/XMLSchema-instance" xsi:type="dcterms:W3CDTF">2026-04-24T09:38:49Z</dcterms:modified>
</cp:coreProperties>
</file>